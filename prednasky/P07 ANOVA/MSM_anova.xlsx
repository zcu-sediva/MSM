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loudStation\Predmety\MSM\2025-2026\cv07\"/>
    </mc:Choice>
  </mc:AlternateContent>
  <xr:revisionPtr revIDLastSave="0" documentId="13_ncr:1_{202473D3-3A7D-4ABE-AF80-1C3E426BEC8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ne  way" sheetId="3" r:id="rId1"/>
    <sheet name="two way 1" sheetId="1" r:id="rId2"/>
    <sheet name="two way 2" sheetId="4" r:id="rId3"/>
    <sheet name="ancova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3" l="1"/>
  <c r="M12" i="3" l="1"/>
  <c r="L19" i="1" l="1"/>
  <c r="I12" i="3"/>
  <c r="I13" i="3"/>
</calcChain>
</file>

<file path=xl/sharedStrings.xml><?xml version="1.0" encoding="utf-8"?>
<sst xmlns="http://schemas.openxmlformats.org/spreadsheetml/2006/main" count="147" uniqueCount="44">
  <si>
    <t>fakA1</t>
  </si>
  <si>
    <t>fakA2</t>
  </si>
  <si>
    <t>fakA3</t>
  </si>
  <si>
    <t>fakB1</t>
  </si>
  <si>
    <t>fakB2</t>
  </si>
  <si>
    <t>A1</t>
  </si>
  <si>
    <t>A2</t>
  </si>
  <si>
    <t>A3</t>
  </si>
  <si>
    <t>A4</t>
  </si>
  <si>
    <t>A5</t>
  </si>
  <si>
    <t>B1</t>
  </si>
  <si>
    <t>B2</t>
  </si>
  <si>
    <t>B3</t>
  </si>
  <si>
    <t>Sk 1</t>
  </si>
  <si>
    <t>Sk 2</t>
  </si>
  <si>
    <t>Sk 3</t>
  </si>
  <si>
    <t>nan</t>
  </si>
  <si>
    <t>Posttest Score</t>
  </si>
  <si>
    <t>Pretest Score</t>
  </si>
  <si>
    <t>Teaching Method</t>
  </si>
  <si>
    <t>A</t>
  </si>
  <si>
    <t>B</t>
  </si>
  <si>
    <t>Anova: jeden faktor</t>
  </si>
  <si>
    <t>Faktor</t>
  </si>
  <si>
    <t>Výběr</t>
  </si>
  <si>
    <t>Počet</t>
  </si>
  <si>
    <t>Součet</t>
  </si>
  <si>
    <t>Průměr</t>
  </si>
  <si>
    <t>Rozptyl</t>
  </si>
  <si>
    <t>ANOVA</t>
  </si>
  <si>
    <t>Zdroj variability</t>
  </si>
  <si>
    <t>SS</t>
  </si>
  <si>
    <t>Rozdíl</t>
  </si>
  <si>
    <t>MS</t>
  </si>
  <si>
    <t>F</t>
  </si>
  <si>
    <t>Hodnota P</t>
  </si>
  <si>
    <t>F krit</t>
  </si>
  <si>
    <t>Mezi výběry</t>
  </si>
  <si>
    <t>Všechny výběry</t>
  </si>
  <si>
    <t>Celkem</t>
  </si>
  <si>
    <t>Anova: dva faktory bez opakování</t>
  </si>
  <si>
    <t>Řádky</t>
  </si>
  <si>
    <t>Sloupce</t>
  </si>
  <si>
    <t>Chyba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</si>
</sst>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0"/>
      <name val="Arial"/>
      <family val="2"/>
    </font>
    <font>
      <sz val="10"/>
      <name val="Arial"/>
      <family val="2"/>
      <charset val="238"/>
    </font>
    <font>
      <i/>
      <sz val="11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8" fillId="0" borderId="11" xfId="0" applyFont="1" applyBorder="1" applyAlignment="1">
      <alignment horizontal="center"/>
    </xf>
    <xf numFmtId="0" fontId="19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0" xfId="0" applyBorder="1"/>
    <xf numFmtId="0" fontId="0" fillId="0" borderId="18" xfId="0" applyBorder="1"/>
    <xf numFmtId="0" fontId="0" fillId="0" borderId="0" xfId="0" applyFill="1" applyBorder="1" applyAlignment="1"/>
    <xf numFmtId="0" fontId="0" fillId="0" borderId="10" xfId="0" applyFill="1" applyBorder="1" applyAlignment="1"/>
    <xf numFmtId="0" fontId="20" fillId="0" borderId="19" xfId="0" applyFont="1" applyFill="1" applyBorder="1" applyAlignment="1">
      <alignment horizontal="center"/>
    </xf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5"/>
  <sheetViews>
    <sheetView tabSelected="1" workbookViewId="0">
      <selection activeCell="F18" sqref="F18"/>
    </sheetView>
  </sheetViews>
  <sheetFormatPr defaultRowHeight="14.5" x14ac:dyDescent="0.35"/>
  <cols>
    <col min="1" max="1" width="7.6328125" customWidth="1"/>
    <col min="5" max="5" width="16.08984375" customWidth="1"/>
    <col min="8" max="9" width="14.81640625" customWidth="1"/>
    <col min="11" max="11" width="11.81640625" bestFit="1" customWidth="1"/>
  </cols>
  <sheetData>
    <row r="1" spans="1:13" ht="15" thickBot="1" x14ac:dyDescent="0.4">
      <c r="A1" s="1" t="s">
        <v>13</v>
      </c>
      <c r="B1" t="s">
        <v>14</v>
      </c>
      <c r="C1" t="s">
        <v>15</v>
      </c>
      <c r="E1" t="s">
        <v>22</v>
      </c>
    </row>
    <row r="2" spans="1:13" x14ac:dyDescent="0.35">
      <c r="A2">
        <v>41</v>
      </c>
      <c r="B2">
        <v>76</v>
      </c>
      <c r="C2">
        <v>115</v>
      </c>
    </row>
    <row r="3" spans="1:13" ht="15" thickBot="1" x14ac:dyDescent="0.4">
      <c r="A3">
        <v>42</v>
      </c>
      <c r="B3">
        <v>77</v>
      </c>
      <c r="C3">
        <v>118</v>
      </c>
      <c r="E3" t="s">
        <v>23</v>
      </c>
    </row>
    <row r="4" spans="1:13" x14ac:dyDescent="0.35">
      <c r="A4">
        <v>26</v>
      </c>
      <c r="B4">
        <v>81</v>
      </c>
      <c r="C4">
        <v>66</v>
      </c>
      <c r="E4" s="13" t="s">
        <v>24</v>
      </c>
      <c r="F4" s="13" t="s">
        <v>25</v>
      </c>
      <c r="G4" s="13" t="s">
        <v>26</v>
      </c>
      <c r="H4" s="13" t="s">
        <v>27</v>
      </c>
      <c r="I4" s="13"/>
      <c r="J4" s="13" t="s">
        <v>28</v>
      </c>
    </row>
    <row r="5" spans="1:13" x14ac:dyDescent="0.35">
      <c r="A5">
        <v>63</v>
      </c>
      <c r="B5">
        <v>74</v>
      </c>
      <c r="C5">
        <v>102</v>
      </c>
      <c r="E5" s="11" t="s">
        <v>13</v>
      </c>
      <c r="F5" s="11">
        <v>14</v>
      </c>
      <c r="G5" s="11">
        <v>700</v>
      </c>
      <c r="H5" s="11">
        <v>50</v>
      </c>
      <c r="I5" s="11"/>
      <c r="J5" s="11">
        <v>134</v>
      </c>
    </row>
    <row r="6" spans="1:13" x14ac:dyDescent="0.35">
      <c r="A6">
        <v>45</v>
      </c>
      <c r="B6">
        <v>70</v>
      </c>
      <c r="C6">
        <v>94</v>
      </c>
      <c r="E6" s="11" t="s">
        <v>14</v>
      </c>
      <c r="F6" s="11">
        <v>7</v>
      </c>
      <c r="G6" s="11">
        <v>524</v>
      </c>
      <c r="H6" s="11">
        <v>74.857142857142861</v>
      </c>
      <c r="I6" s="11"/>
      <c r="J6" s="11">
        <v>15.476190476190474</v>
      </c>
    </row>
    <row r="7" spans="1:13" ht="15" thickBot="1" x14ac:dyDescent="0.4">
      <c r="A7">
        <v>55</v>
      </c>
      <c r="B7">
        <v>70</v>
      </c>
      <c r="C7">
        <v>107</v>
      </c>
      <c r="E7" s="12" t="s">
        <v>15</v>
      </c>
      <c r="F7" s="12">
        <v>10</v>
      </c>
      <c r="G7" s="12">
        <v>918</v>
      </c>
      <c r="H7" s="12">
        <v>91.8</v>
      </c>
      <c r="I7" s="12"/>
      <c r="J7" s="12">
        <v>706.84444444444512</v>
      </c>
    </row>
    <row r="8" spans="1:13" x14ac:dyDescent="0.35">
      <c r="A8">
        <v>57</v>
      </c>
      <c r="B8">
        <v>76</v>
      </c>
      <c r="C8">
        <v>124</v>
      </c>
    </row>
    <row r="9" spans="1:13" x14ac:dyDescent="0.35">
      <c r="A9">
        <v>66</v>
      </c>
      <c r="C9">
        <v>58</v>
      </c>
    </row>
    <row r="10" spans="1:13" ht="15" thickBot="1" x14ac:dyDescent="0.4">
      <c r="A10">
        <v>64</v>
      </c>
      <c r="C10">
        <v>48</v>
      </c>
      <c r="E10" t="s">
        <v>29</v>
      </c>
    </row>
    <row r="11" spans="1:13" x14ac:dyDescent="0.35">
      <c r="A11">
        <v>38</v>
      </c>
      <c r="C11">
        <v>86</v>
      </c>
      <c r="E11" s="13" t="s">
        <v>30</v>
      </c>
      <c r="F11" s="13" t="s">
        <v>31</v>
      </c>
      <c r="G11" s="13" t="s">
        <v>32</v>
      </c>
      <c r="H11" s="13" t="s">
        <v>33</v>
      </c>
      <c r="I11" s="13"/>
      <c r="J11" s="13" t="s">
        <v>34</v>
      </c>
      <c r="K11" s="13" t="s">
        <v>35</v>
      </c>
      <c r="L11" s="13" t="s">
        <v>36</v>
      </c>
    </row>
    <row r="12" spans="1:13" x14ac:dyDescent="0.35">
      <c r="A12">
        <v>40</v>
      </c>
      <c r="E12" s="11" t="s">
        <v>37</v>
      </c>
      <c r="F12" s="11">
        <v>10492.25253456222</v>
      </c>
      <c r="G12" s="11">
        <v>2</v>
      </c>
      <c r="H12" s="11">
        <v>5246.1262672811099</v>
      </c>
      <c r="I12" s="11">
        <f>F12/G12</f>
        <v>5246.1262672811099</v>
      </c>
      <c r="J12" s="11">
        <v>17.921344908376746</v>
      </c>
      <c r="K12" s="11">
        <v>9.7421759555760669E-6</v>
      </c>
      <c r="L12" s="11">
        <v>3.3403855582377591</v>
      </c>
      <c r="M12">
        <f>_xlfn.F.INV(0.95,G12,G13)</f>
        <v>3.3403855582377564</v>
      </c>
    </row>
    <row r="13" spans="1:13" x14ac:dyDescent="0.35">
      <c r="A13">
        <v>54</v>
      </c>
      <c r="E13" s="11" t="s">
        <v>38</v>
      </c>
      <c r="F13" s="11">
        <v>8196.4571428571435</v>
      </c>
      <c r="G13" s="11">
        <v>28</v>
      </c>
      <c r="H13" s="11">
        <v>292.730612244898</v>
      </c>
      <c r="I13" s="11">
        <f>F13/G13</f>
        <v>292.730612244898</v>
      </c>
      <c r="J13" s="11"/>
      <c r="K13" s="11">
        <f>1-_xlfn.F.DIST(J12,G12,G13,TRUE)</f>
        <v>9.742175955507193E-6</v>
      </c>
      <c r="L13" s="11"/>
    </row>
    <row r="14" spans="1:13" x14ac:dyDescent="0.35">
      <c r="A14">
        <v>55</v>
      </c>
      <c r="E14" s="11"/>
      <c r="F14" s="11"/>
      <c r="G14" s="11"/>
      <c r="H14" s="11"/>
      <c r="I14" s="11"/>
      <c r="J14" s="11"/>
      <c r="K14" s="11"/>
      <c r="L14" s="11"/>
    </row>
    <row r="15" spans="1:13" ht="15" thickBot="1" x14ac:dyDescent="0.4">
      <c r="A15">
        <v>54</v>
      </c>
      <c r="E15" s="12" t="s">
        <v>39</v>
      </c>
      <c r="F15" s="12">
        <v>18688.709677419363</v>
      </c>
      <c r="G15" s="12">
        <v>30</v>
      </c>
      <c r="H15" s="12"/>
      <c r="I15" s="12"/>
      <c r="J15" s="12"/>
      <c r="K15" s="12"/>
      <c r="L15" s="1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1"/>
  <sheetViews>
    <sheetView workbookViewId="0">
      <selection activeCell="I6" sqref="I6"/>
    </sheetView>
  </sheetViews>
  <sheetFormatPr defaultRowHeight="14.5" x14ac:dyDescent="0.35"/>
  <sheetData>
    <row r="1" spans="1:14" x14ac:dyDescent="0.35">
      <c r="B1" t="s">
        <v>5</v>
      </c>
      <c r="C1" t="s">
        <v>6</v>
      </c>
      <c r="D1" t="s">
        <v>7</v>
      </c>
      <c r="E1" t="s">
        <v>8</v>
      </c>
      <c r="F1" t="s">
        <v>9</v>
      </c>
      <c r="H1" t="s">
        <v>40</v>
      </c>
    </row>
    <row r="2" spans="1:14" ht="15" thickBot="1" x14ac:dyDescent="0.4">
      <c r="A2" t="s">
        <v>10</v>
      </c>
      <c r="B2">
        <v>3</v>
      </c>
      <c r="C2">
        <v>5.24</v>
      </c>
      <c r="D2">
        <v>5.47</v>
      </c>
      <c r="E2">
        <v>4.9800000000000004</v>
      </c>
      <c r="F2">
        <v>5.16</v>
      </c>
    </row>
    <row r="3" spans="1:14" x14ac:dyDescent="0.35">
      <c r="A3" t="s">
        <v>11</v>
      </c>
      <c r="B3">
        <v>5.88</v>
      </c>
      <c r="C3">
        <v>5</v>
      </c>
      <c r="D3">
        <v>4.8600000000000003</v>
      </c>
      <c r="E3">
        <v>5.45</v>
      </c>
      <c r="F3">
        <v>5.12</v>
      </c>
      <c r="H3" s="13" t="s">
        <v>23</v>
      </c>
      <c r="I3" s="13" t="s">
        <v>25</v>
      </c>
      <c r="J3" s="13" t="s">
        <v>26</v>
      </c>
      <c r="K3" s="13" t="s">
        <v>27</v>
      </c>
      <c r="L3" s="13" t="s">
        <v>28</v>
      </c>
    </row>
    <row r="4" spans="1:14" x14ac:dyDescent="0.35">
      <c r="A4" t="s">
        <v>12</v>
      </c>
      <c r="B4">
        <v>5.32</v>
      </c>
      <c r="C4">
        <v>4.21</v>
      </c>
      <c r="D4">
        <v>7</v>
      </c>
      <c r="E4">
        <v>5.33</v>
      </c>
      <c r="F4">
        <v>5.24</v>
      </c>
      <c r="H4" s="11" t="s">
        <v>10</v>
      </c>
      <c r="I4" s="11">
        <v>5</v>
      </c>
      <c r="J4" s="11">
        <v>23.85</v>
      </c>
      <c r="K4" s="11">
        <v>4.7700000000000005</v>
      </c>
      <c r="L4" s="11">
        <v>1.0099999999999945</v>
      </c>
    </row>
    <row r="5" spans="1:14" x14ac:dyDescent="0.35">
      <c r="H5" s="11" t="s">
        <v>11</v>
      </c>
      <c r="I5" s="11">
        <v>5</v>
      </c>
      <c r="J5" s="11">
        <v>26.31</v>
      </c>
      <c r="K5" s="11">
        <v>5.2619999999999996</v>
      </c>
      <c r="L5" s="11">
        <v>0.16691999999999993</v>
      </c>
    </row>
    <row r="6" spans="1:14" x14ac:dyDescent="0.35">
      <c r="H6" s="11" t="s">
        <v>12</v>
      </c>
      <c r="I6" s="11">
        <v>5</v>
      </c>
      <c r="J6" s="11">
        <v>27.1</v>
      </c>
      <c r="K6" s="11">
        <v>5.42</v>
      </c>
      <c r="L6" s="11">
        <v>1.0027499999999989</v>
      </c>
    </row>
    <row r="7" spans="1:14" x14ac:dyDescent="0.35">
      <c r="H7" s="11"/>
      <c r="I7" s="11"/>
      <c r="J7" s="11"/>
      <c r="K7" s="11"/>
      <c r="L7" s="11"/>
    </row>
    <row r="8" spans="1:14" x14ac:dyDescent="0.35">
      <c r="H8" s="11" t="s">
        <v>5</v>
      </c>
      <c r="I8" s="11">
        <v>3</v>
      </c>
      <c r="J8" s="11">
        <v>14.2</v>
      </c>
      <c r="K8" s="11">
        <v>4.7333333333333334</v>
      </c>
      <c r="L8" s="11">
        <v>2.3317333333333394</v>
      </c>
    </row>
    <row r="9" spans="1:14" x14ac:dyDescent="0.35">
      <c r="H9" s="11" t="s">
        <v>6</v>
      </c>
      <c r="I9" s="11">
        <v>3</v>
      </c>
      <c r="J9" s="11">
        <v>14.45</v>
      </c>
      <c r="K9" s="11">
        <v>4.8166666666666664</v>
      </c>
      <c r="L9" s="11">
        <v>0.29043333333333343</v>
      </c>
    </row>
    <row r="10" spans="1:14" x14ac:dyDescent="0.35">
      <c r="H10" s="11" t="s">
        <v>7</v>
      </c>
      <c r="I10" s="11">
        <v>3</v>
      </c>
      <c r="J10" s="11">
        <v>17.329999999999998</v>
      </c>
      <c r="K10" s="11">
        <v>5.7766666666666664</v>
      </c>
      <c r="L10" s="11">
        <v>1.215433333333344</v>
      </c>
    </row>
    <row r="11" spans="1:14" x14ac:dyDescent="0.35">
      <c r="H11" s="11" t="s">
        <v>8</v>
      </c>
      <c r="I11" s="11">
        <v>3</v>
      </c>
      <c r="J11" s="11">
        <v>15.76</v>
      </c>
      <c r="K11" s="11">
        <v>5.253333333333333</v>
      </c>
      <c r="L11" s="11">
        <v>5.9633333333333254E-2</v>
      </c>
    </row>
    <row r="12" spans="1:14" ht="15" thickBot="1" x14ac:dyDescent="0.4">
      <c r="H12" s="12" t="s">
        <v>9</v>
      </c>
      <c r="I12" s="12">
        <v>3</v>
      </c>
      <c r="J12" s="12">
        <v>15.520000000000001</v>
      </c>
      <c r="K12" s="12">
        <v>5.1733333333333338</v>
      </c>
      <c r="L12" s="12">
        <v>3.7333333333333402E-3</v>
      </c>
    </row>
    <row r="15" spans="1:14" ht="15" thickBot="1" x14ac:dyDescent="0.4">
      <c r="H15" t="s">
        <v>29</v>
      </c>
    </row>
    <row r="16" spans="1:14" x14ac:dyDescent="0.35">
      <c r="H16" s="13" t="s">
        <v>30</v>
      </c>
      <c r="I16" s="13" t="s">
        <v>31</v>
      </c>
      <c r="J16" s="13" t="s">
        <v>32</v>
      </c>
      <c r="K16" s="13" t="s">
        <v>33</v>
      </c>
      <c r="L16" s="13" t="s">
        <v>34</v>
      </c>
      <c r="M16" s="13" t="s">
        <v>35</v>
      </c>
      <c r="N16" s="13" t="s">
        <v>36</v>
      </c>
    </row>
    <row r="17" spans="8:14" x14ac:dyDescent="0.35">
      <c r="H17" s="11" t="s">
        <v>41</v>
      </c>
      <c r="I17" s="11">
        <v>1.1492133333333339</v>
      </c>
      <c r="J17" s="11">
        <v>2</v>
      </c>
      <c r="K17" s="11">
        <v>0.57460666666666693</v>
      </c>
      <c r="L17" s="11">
        <v>0.69097351659672068</v>
      </c>
      <c r="M17" s="11">
        <v>0.52867410766156209</v>
      </c>
      <c r="N17" s="11">
        <v>4.4589701075245118</v>
      </c>
    </row>
    <row r="18" spans="8:14" x14ac:dyDescent="0.35">
      <c r="H18" s="11" t="s">
        <v>42</v>
      </c>
      <c r="I18" s="11">
        <v>2.0659599999999996</v>
      </c>
      <c r="J18" s="11">
        <v>4</v>
      </c>
      <c r="K18" s="11">
        <v>0.51648999999999989</v>
      </c>
      <c r="L18" s="11">
        <v>0.6210873146622734</v>
      </c>
      <c r="M18" s="11">
        <v>0.66030627575754264</v>
      </c>
      <c r="N18" s="11">
        <v>3.8378533545558975</v>
      </c>
    </row>
    <row r="19" spans="8:14" x14ac:dyDescent="0.35">
      <c r="H19" s="11" t="s">
        <v>43</v>
      </c>
      <c r="I19" s="11">
        <v>6.6527199999999995</v>
      </c>
      <c r="J19" s="11">
        <v>8</v>
      </c>
      <c r="K19" s="11">
        <v>0.83158999999999994</v>
      </c>
      <c r="L19" s="11">
        <f>K17/K19</f>
        <v>0.69097351659672068</v>
      </c>
      <c r="M19" s="11"/>
      <c r="N19" s="11"/>
    </row>
    <row r="20" spans="8:14" x14ac:dyDescent="0.35">
      <c r="H20" s="11"/>
      <c r="I20" s="11"/>
      <c r="J20" s="11"/>
      <c r="K20" s="11"/>
      <c r="L20" s="11"/>
      <c r="M20" s="11"/>
      <c r="N20" s="11"/>
    </row>
    <row r="21" spans="8:14" ht="15" thickBot="1" x14ac:dyDescent="0.4">
      <c r="H21" s="12" t="s">
        <v>39</v>
      </c>
      <c r="I21" s="12">
        <v>9.867893333333333</v>
      </c>
      <c r="J21" s="12">
        <v>14</v>
      </c>
      <c r="K21" s="12"/>
      <c r="L21" s="12"/>
      <c r="M21" s="12"/>
      <c r="N21" s="12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D12"/>
  <sheetViews>
    <sheetView workbookViewId="0">
      <selection activeCell="F13" sqref="F13:F14"/>
    </sheetView>
  </sheetViews>
  <sheetFormatPr defaultRowHeight="14.5" x14ac:dyDescent="0.35"/>
  <sheetData>
    <row r="2" spans="1:4" ht="15" thickBot="1" x14ac:dyDescent="0.4">
      <c r="B2" s="2" t="s">
        <v>0</v>
      </c>
      <c r="C2" s="2" t="s">
        <v>1</v>
      </c>
      <c r="D2" s="2" t="s">
        <v>2</v>
      </c>
    </row>
    <row r="3" spans="1:4" x14ac:dyDescent="0.35">
      <c r="A3" s="2" t="s">
        <v>3</v>
      </c>
      <c r="B3" s="3">
        <v>1</v>
      </c>
      <c r="C3" s="4">
        <v>2</v>
      </c>
      <c r="D3" s="5">
        <v>3</v>
      </c>
    </row>
    <row r="4" spans="1:4" x14ac:dyDescent="0.35">
      <c r="B4" s="6">
        <v>2</v>
      </c>
      <c r="C4">
        <v>3</v>
      </c>
      <c r="D4" s="7">
        <v>4</v>
      </c>
    </row>
    <row r="5" spans="1:4" x14ac:dyDescent="0.35">
      <c r="B5" s="6">
        <v>1</v>
      </c>
      <c r="C5">
        <v>2</v>
      </c>
      <c r="D5" s="7">
        <v>5</v>
      </c>
    </row>
    <row r="6" spans="1:4" x14ac:dyDescent="0.35">
      <c r="B6" s="6">
        <v>3</v>
      </c>
      <c r="C6">
        <v>3</v>
      </c>
      <c r="D6" s="7">
        <v>3</v>
      </c>
    </row>
    <row r="7" spans="1:4" ht="15" thickBot="1" x14ac:dyDescent="0.4">
      <c r="B7" s="8">
        <v>2</v>
      </c>
      <c r="C7" s="9">
        <v>4</v>
      </c>
      <c r="D7" s="10">
        <v>4</v>
      </c>
    </row>
    <row r="8" spans="1:4" x14ac:dyDescent="0.35">
      <c r="A8" s="2" t="s">
        <v>4</v>
      </c>
      <c r="B8" s="3">
        <v>2</v>
      </c>
      <c r="C8" s="4">
        <v>3</v>
      </c>
      <c r="D8" s="5">
        <v>12</v>
      </c>
    </row>
    <row r="9" spans="1:4" x14ac:dyDescent="0.35">
      <c r="B9" s="6">
        <v>4</v>
      </c>
      <c r="C9" t="s">
        <v>16</v>
      </c>
      <c r="D9" s="7">
        <v>10</v>
      </c>
    </row>
    <row r="10" spans="1:4" x14ac:dyDescent="0.35">
      <c r="B10" s="6" t="s">
        <v>16</v>
      </c>
      <c r="C10">
        <v>5</v>
      </c>
      <c r="D10" s="7">
        <v>6</v>
      </c>
    </row>
    <row r="11" spans="1:4" x14ac:dyDescent="0.35">
      <c r="B11" s="6">
        <v>3</v>
      </c>
      <c r="C11">
        <v>2</v>
      </c>
      <c r="D11" s="7">
        <v>3</v>
      </c>
    </row>
    <row r="12" spans="1:4" ht="15" thickBot="1" x14ac:dyDescent="0.4">
      <c r="B12" s="8">
        <v>2</v>
      </c>
      <c r="C12" s="9">
        <v>7</v>
      </c>
      <c r="D12" s="10" t="s">
        <v>16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E1BA-ADFD-4E7F-967D-CA3202376E85}">
  <dimension ref="A1:C79"/>
  <sheetViews>
    <sheetView workbookViewId="0">
      <selection activeCell="E16" sqref="E16"/>
    </sheetView>
  </sheetViews>
  <sheetFormatPr defaultRowHeight="14.5" x14ac:dyDescent="0.35"/>
  <cols>
    <col min="2" max="2" width="12.54296875" customWidth="1"/>
  </cols>
  <sheetData>
    <row r="1" spans="1:3" x14ac:dyDescent="0.35">
      <c r="A1" t="s">
        <v>17</v>
      </c>
      <c r="B1" t="s">
        <v>18</v>
      </c>
      <c r="C1" t="s">
        <v>19</v>
      </c>
    </row>
    <row r="2" spans="1:3" x14ac:dyDescent="0.35">
      <c r="A2">
        <v>13.472642442239801</v>
      </c>
      <c r="B2">
        <v>1</v>
      </c>
      <c r="C2" t="s">
        <v>20</v>
      </c>
    </row>
    <row r="3" spans="1:3" x14ac:dyDescent="0.35">
      <c r="A3">
        <v>7.8359671039503898</v>
      </c>
      <c r="B3">
        <v>1.5</v>
      </c>
      <c r="C3" t="s">
        <v>20</v>
      </c>
    </row>
    <row r="4" spans="1:3" x14ac:dyDescent="0.35">
      <c r="A4">
        <v>16.165661482967799</v>
      </c>
      <c r="B4">
        <v>2</v>
      </c>
      <c r="C4" t="s">
        <v>20</v>
      </c>
    </row>
    <row r="5" spans="1:3" x14ac:dyDescent="0.35">
      <c r="A5">
        <v>11.6937941723845</v>
      </c>
      <c r="B5">
        <v>2.5</v>
      </c>
      <c r="C5" t="s">
        <v>20</v>
      </c>
    </row>
    <row r="6" spans="1:3" x14ac:dyDescent="0.35">
      <c r="A6">
        <v>6.4780893471518199</v>
      </c>
      <c r="B6">
        <v>3</v>
      </c>
      <c r="C6" t="s">
        <v>20</v>
      </c>
    </row>
    <row r="7" spans="1:3" x14ac:dyDescent="0.35">
      <c r="A7">
        <v>13.541428420892601</v>
      </c>
      <c r="B7">
        <v>3.5</v>
      </c>
      <c r="C7" t="s">
        <v>20</v>
      </c>
    </row>
    <row r="8" spans="1:3" x14ac:dyDescent="0.35">
      <c r="A8">
        <v>11.7273426943938</v>
      </c>
      <c r="B8">
        <v>4</v>
      </c>
      <c r="C8" t="s">
        <v>20</v>
      </c>
    </row>
    <row r="9" spans="1:3" x14ac:dyDescent="0.35">
      <c r="A9">
        <v>15.648856154870201</v>
      </c>
      <c r="B9">
        <v>4.5</v>
      </c>
      <c r="C9" t="s">
        <v>20</v>
      </c>
    </row>
    <row r="10" spans="1:3" x14ac:dyDescent="0.35">
      <c r="A10">
        <v>15.3261948319663</v>
      </c>
      <c r="B10">
        <v>5</v>
      </c>
      <c r="C10" t="s">
        <v>20</v>
      </c>
    </row>
    <row r="11" spans="1:3" x14ac:dyDescent="0.35">
      <c r="A11">
        <v>17.8606477192291</v>
      </c>
      <c r="B11">
        <v>5.5</v>
      </c>
      <c r="C11" t="s">
        <v>20</v>
      </c>
    </row>
    <row r="12" spans="1:3" x14ac:dyDescent="0.35">
      <c r="A12">
        <v>19.063034109483599</v>
      </c>
      <c r="B12">
        <v>6</v>
      </c>
      <c r="C12" t="s">
        <v>20</v>
      </c>
    </row>
    <row r="13" spans="1:3" x14ac:dyDescent="0.35">
      <c r="A13">
        <v>18.189736256295401</v>
      </c>
      <c r="B13">
        <v>6.5</v>
      </c>
      <c r="C13" t="s">
        <v>20</v>
      </c>
    </row>
    <row r="14" spans="1:3" x14ac:dyDescent="0.35">
      <c r="A14">
        <v>22.579249656424</v>
      </c>
      <c r="B14">
        <v>7</v>
      </c>
      <c r="C14" t="s">
        <v>20</v>
      </c>
    </row>
    <row r="15" spans="1:3" x14ac:dyDescent="0.35">
      <c r="A15">
        <v>17.854860176333101</v>
      </c>
      <c r="B15">
        <v>7.5</v>
      </c>
      <c r="C15" t="s">
        <v>20</v>
      </c>
    </row>
    <row r="16" spans="1:3" x14ac:dyDescent="0.35">
      <c r="A16">
        <v>25.430027415954299</v>
      </c>
      <c r="B16">
        <v>8</v>
      </c>
      <c r="C16" t="s">
        <v>20</v>
      </c>
    </row>
    <row r="17" spans="1:3" x14ac:dyDescent="0.35">
      <c r="A17">
        <v>23.527991463905401</v>
      </c>
      <c r="B17">
        <v>8.5</v>
      </c>
      <c r="C17" t="s">
        <v>20</v>
      </c>
    </row>
    <row r="18" spans="1:3" x14ac:dyDescent="0.35">
      <c r="A18">
        <v>25.779530833299901</v>
      </c>
      <c r="B18">
        <v>9</v>
      </c>
      <c r="C18" t="s">
        <v>20</v>
      </c>
    </row>
    <row r="19" spans="1:3" x14ac:dyDescent="0.35">
      <c r="A19">
        <v>26.012500995233701</v>
      </c>
      <c r="B19">
        <v>9.5</v>
      </c>
      <c r="C19" t="s">
        <v>20</v>
      </c>
    </row>
    <row r="20" spans="1:3" x14ac:dyDescent="0.35">
      <c r="A20">
        <v>27.880224809924101</v>
      </c>
      <c r="B20">
        <v>10</v>
      </c>
      <c r="C20" t="s">
        <v>20</v>
      </c>
    </row>
    <row r="21" spans="1:3" x14ac:dyDescent="0.35">
      <c r="A21">
        <v>24.319633866618599</v>
      </c>
      <c r="B21">
        <v>10.5</v>
      </c>
      <c r="C21" t="s">
        <v>20</v>
      </c>
    </row>
    <row r="22" spans="1:3" x14ac:dyDescent="0.35">
      <c r="A22">
        <v>32.066051392815801</v>
      </c>
      <c r="B22">
        <v>11</v>
      </c>
      <c r="C22" t="s">
        <v>20</v>
      </c>
    </row>
    <row r="23" spans="1:3" x14ac:dyDescent="0.35">
      <c r="A23">
        <v>27.910029269252099</v>
      </c>
      <c r="B23">
        <v>11.5</v>
      </c>
      <c r="C23" t="s">
        <v>20</v>
      </c>
    </row>
    <row r="24" spans="1:3" x14ac:dyDescent="0.35">
      <c r="A24">
        <v>25.552363601207102</v>
      </c>
      <c r="B24">
        <v>12</v>
      </c>
      <c r="C24" t="s">
        <v>20</v>
      </c>
    </row>
    <row r="25" spans="1:3" x14ac:dyDescent="0.35">
      <c r="A25">
        <v>30.142327867454899</v>
      </c>
      <c r="B25">
        <v>12.5</v>
      </c>
      <c r="C25" t="s">
        <v>20</v>
      </c>
    </row>
    <row r="26" spans="1:3" x14ac:dyDescent="0.35">
      <c r="A26">
        <v>27.936188781397799</v>
      </c>
      <c r="B26">
        <v>13</v>
      </c>
      <c r="C26" t="s">
        <v>20</v>
      </c>
    </row>
    <row r="27" spans="1:3" x14ac:dyDescent="0.35">
      <c r="A27">
        <v>28.399626613585099</v>
      </c>
      <c r="B27">
        <v>13.5</v>
      </c>
      <c r="C27" t="s">
        <v>20</v>
      </c>
    </row>
    <row r="28" spans="1:3" x14ac:dyDescent="0.35">
      <c r="A28">
        <v>33.086632916082799</v>
      </c>
      <c r="B28">
        <v>14</v>
      </c>
      <c r="C28" t="s">
        <v>20</v>
      </c>
    </row>
    <row r="29" spans="1:3" x14ac:dyDescent="0.35">
      <c r="A29">
        <v>27.0819107853604</v>
      </c>
      <c r="B29">
        <v>14.5</v>
      </c>
      <c r="C29" t="s">
        <v>20</v>
      </c>
    </row>
    <row r="30" spans="1:3" x14ac:dyDescent="0.35">
      <c r="A30">
        <v>33.0267567036881</v>
      </c>
      <c r="B30">
        <v>15</v>
      </c>
      <c r="C30" t="s">
        <v>20</v>
      </c>
    </row>
    <row r="31" spans="1:3" x14ac:dyDescent="0.35">
      <c r="A31">
        <v>33.560416068796599</v>
      </c>
      <c r="B31">
        <v>15.5</v>
      </c>
      <c r="C31" t="s">
        <v>20</v>
      </c>
    </row>
    <row r="32" spans="1:3" x14ac:dyDescent="0.35">
      <c r="A32">
        <v>31.730055409447701</v>
      </c>
      <c r="B32">
        <v>16</v>
      </c>
      <c r="C32" t="s">
        <v>20</v>
      </c>
    </row>
    <row r="33" spans="1:3" x14ac:dyDescent="0.35">
      <c r="A33">
        <v>35.578865098977502</v>
      </c>
      <c r="B33">
        <v>16.5</v>
      </c>
      <c r="C33" t="s">
        <v>20</v>
      </c>
    </row>
    <row r="34" spans="1:3" x14ac:dyDescent="0.35">
      <c r="A34">
        <v>33.2221384824227</v>
      </c>
      <c r="B34">
        <v>17</v>
      </c>
      <c r="C34" t="s">
        <v>20</v>
      </c>
    </row>
    <row r="35" spans="1:3" x14ac:dyDescent="0.35">
      <c r="A35">
        <v>37.802970030396601</v>
      </c>
      <c r="B35">
        <v>17.5</v>
      </c>
      <c r="C35" t="s">
        <v>20</v>
      </c>
    </row>
    <row r="36" spans="1:3" x14ac:dyDescent="0.35">
      <c r="A36">
        <v>36.654514286599998</v>
      </c>
      <c r="B36">
        <v>18</v>
      </c>
      <c r="C36" t="s">
        <v>20</v>
      </c>
    </row>
    <row r="37" spans="1:3" x14ac:dyDescent="0.35">
      <c r="A37">
        <v>37.5281484592726</v>
      </c>
      <c r="B37">
        <v>18.5</v>
      </c>
      <c r="C37" t="s">
        <v>20</v>
      </c>
    </row>
    <row r="38" spans="1:3" x14ac:dyDescent="0.35">
      <c r="A38">
        <v>34.0078759185783</v>
      </c>
      <c r="B38">
        <v>19</v>
      </c>
      <c r="C38" t="s">
        <v>20</v>
      </c>
    </row>
    <row r="39" spans="1:3" x14ac:dyDescent="0.35">
      <c r="A39">
        <v>38.915435537124097</v>
      </c>
      <c r="B39">
        <v>19.5</v>
      </c>
      <c r="C39" t="s">
        <v>20</v>
      </c>
    </row>
    <row r="40" spans="1:3" x14ac:dyDescent="0.35">
      <c r="A40">
        <v>39.227474054649697</v>
      </c>
      <c r="B40">
        <v>20</v>
      </c>
      <c r="C40" t="s">
        <v>20</v>
      </c>
    </row>
    <row r="41" spans="1:3" x14ac:dyDescent="0.35">
      <c r="A41">
        <v>23.472642442239799</v>
      </c>
      <c r="B41">
        <v>1</v>
      </c>
      <c r="C41" t="s">
        <v>21</v>
      </c>
    </row>
    <row r="42" spans="1:3" x14ac:dyDescent="0.35">
      <c r="A42">
        <v>17.835967103950299</v>
      </c>
      <c r="B42">
        <v>1.5</v>
      </c>
      <c r="C42" t="s">
        <v>21</v>
      </c>
    </row>
    <row r="43" spans="1:3" x14ac:dyDescent="0.35">
      <c r="A43">
        <v>26.165661482967799</v>
      </c>
      <c r="B43">
        <v>2</v>
      </c>
      <c r="C43" t="s">
        <v>21</v>
      </c>
    </row>
    <row r="44" spans="1:3" x14ac:dyDescent="0.35">
      <c r="A44">
        <v>21.6937941723845</v>
      </c>
      <c r="B44">
        <v>2.5</v>
      </c>
      <c r="C44" t="s">
        <v>21</v>
      </c>
    </row>
    <row r="45" spans="1:3" x14ac:dyDescent="0.35">
      <c r="A45">
        <v>16.478089347151801</v>
      </c>
      <c r="B45">
        <v>3</v>
      </c>
      <c r="C45" t="s">
        <v>21</v>
      </c>
    </row>
    <row r="46" spans="1:3" x14ac:dyDescent="0.35">
      <c r="A46">
        <v>23.541428420892601</v>
      </c>
      <c r="B46">
        <v>3.5</v>
      </c>
      <c r="C46" t="s">
        <v>21</v>
      </c>
    </row>
    <row r="47" spans="1:3" x14ac:dyDescent="0.35">
      <c r="A47">
        <v>21.727342694393801</v>
      </c>
      <c r="B47">
        <v>4</v>
      </c>
      <c r="C47" t="s">
        <v>21</v>
      </c>
    </row>
    <row r="48" spans="1:3" x14ac:dyDescent="0.35">
      <c r="A48">
        <v>25.648856154870199</v>
      </c>
      <c r="B48">
        <v>4.5</v>
      </c>
      <c r="C48" t="s">
        <v>21</v>
      </c>
    </row>
    <row r="49" spans="1:3" x14ac:dyDescent="0.35">
      <c r="A49">
        <v>25.326194831966301</v>
      </c>
      <c r="B49">
        <v>5</v>
      </c>
      <c r="C49" t="s">
        <v>21</v>
      </c>
    </row>
    <row r="50" spans="1:3" x14ac:dyDescent="0.35">
      <c r="A50">
        <v>27.8606477192291</v>
      </c>
      <c r="B50">
        <v>5.5</v>
      </c>
      <c r="C50" t="s">
        <v>21</v>
      </c>
    </row>
    <row r="51" spans="1:3" x14ac:dyDescent="0.35">
      <c r="A51">
        <v>29.063034109483599</v>
      </c>
      <c r="B51">
        <v>6</v>
      </c>
      <c r="C51" t="s">
        <v>21</v>
      </c>
    </row>
    <row r="52" spans="1:3" x14ac:dyDescent="0.35">
      <c r="A52">
        <v>28.189736256295401</v>
      </c>
      <c r="B52">
        <v>6.5</v>
      </c>
      <c r="C52" t="s">
        <v>21</v>
      </c>
    </row>
    <row r="53" spans="1:3" x14ac:dyDescent="0.35">
      <c r="A53">
        <v>32.579249656423997</v>
      </c>
      <c r="B53">
        <v>7</v>
      </c>
      <c r="C53" t="s">
        <v>21</v>
      </c>
    </row>
    <row r="54" spans="1:3" x14ac:dyDescent="0.35">
      <c r="A54">
        <v>27.854860176333101</v>
      </c>
      <c r="B54">
        <v>7.5</v>
      </c>
      <c r="C54" t="s">
        <v>21</v>
      </c>
    </row>
    <row r="55" spans="1:3" x14ac:dyDescent="0.35">
      <c r="A55">
        <v>35.430027415954399</v>
      </c>
      <c r="B55">
        <v>8</v>
      </c>
      <c r="C55" t="s">
        <v>21</v>
      </c>
    </row>
    <row r="56" spans="1:3" x14ac:dyDescent="0.35">
      <c r="A56">
        <v>33.527991463905401</v>
      </c>
      <c r="B56">
        <v>8.5</v>
      </c>
      <c r="C56" t="s">
        <v>21</v>
      </c>
    </row>
    <row r="57" spans="1:3" x14ac:dyDescent="0.35">
      <c r="A57">
        <v>35.779530833299901</v>
      </c>
      <c r="B57">
        <v>9</v>
      </c>
      <c r="C57" t="s">
        <v>21</v>
      </c>
    </row>
    <row r="58" spans="1:3" x14ac:dyDescent="0.35">
      <c r="A58">
        <v>36.012500995233701</v>
      </c>
      <c r="B58">
        <v>9.5</v>
      </c>
      <c r="C58" t="s">
        <v>21</v>
      </c>
    </row>
    <row r="59" spans="1:3" x14ac:dyDescent="0.35">
      <c r="A59">
        <v>37.880224809924101</v>
      </c>
      <c r="B59">
        <v>10</v>
      </c>
      <c r="C59" t="s">
        <v>21</v>
      </c>
    </row>
    <row r="60" spans="1:3" x14ac:dyDescent="0.35">
      <c r="A60">
        <v>34.319633866618602</v>
      </c>
      <c r="B60">
        <v>10.5</v>
      </c>
      <c r="C60" t="s">
        <v>21</v>
      </c>
    </row>
    <row r="61" spans="1:3" x14ac:dyDescent="0.35">
      <c r="A61">
        <v>42.066051392815801</v>
      </c>
      <c r="B61">
        <v>11</v>
      </c>
      <c r="C61" t="s">
        <v>21</v>
      </c>
    </row>
    <row r="62" spans="1:3" x14ac:dyDescent="0.35">
      <c r="A62">
        <v>37.910029269252099</v>
      </c>
      <c r="B62">
        <v>11.5</v>
      </c>
      <c r="C62" t="s">
        <v>21</v>
      </c>
    </row>
    <row r="63" spans="1:3" x14ac:dyDescent="0.35">
      <c r="A63">
        <v>35.552363601207098</v>
      </c>
      <c r="B63">
        <v>12</v>
      </c>
      <c r="C63" t="s">
        <v>21</v>
      </c>
    </row>
    <row r="64" spans="1:3" x14ac:dyDescent="0.35">
      <c r="A64">
        <v>40.142327867454902</v>
      </c>
      <c r="B64">
        <v>12.5</v>
      </c>
      <c r="C64" t="s">
        <v>21</v>
      </c>
    </row>
    <row r="65" spans="1:3" x14ac:dyDescent="0.35">
      <c r="A65">
        <v>37.936188781397803</v>
      </c>
      <c r="B65">
        <v>13</v>
      </c>
      <c r="C65" t="s">
        <v>21</v>
      </c>
    </row>
    <row r="66" spans="1:3" x14ac:dyDescent="0.35">
      <c r="A66">
        <v>38.399626613585099</v>
      </c>
      <c r="B66">
        <v>13.5</v>
      </c>
      <c r="C66" t="s">
        <v>21</v>
      </c>
    </row>
    <row r="67" spans="1:3" x14ac:dyDescent="0.35">
      <c r="A67">
        <v>43.086632916082799</v>
      </c>
      <c r="B67">
        <v>14</v>
      </c>
      <c r="C67" t="s">
        <v>21</v>
      </c>
    </row>
    <row r="68" spans="1:3" x14ac:dyDescent="0.35">
      <c r="A68">
        <v>37.0819107853604</v>
      </c>
      <c r="B68">
        <v>14.5</v>
      </c>
      <c r="C68" t="s">
        <v>21</v>
      </c>
    </row>
    <row r="69" spans="1:3" x14ac:dyDescent="0.35">
      <c r="A69">
        <v>43.0267567036881</v>
      </c>
      <c r="B69">
        <v>15</v>
      </c>
      <c r="C69" t="s">
        <v>21</v>
      </c>
    </row>
    <row r="70" spans="1:3" x14ac:dyDescent="0.35">
      <c r="A70">
        <v>43.560416068796599</v>
      </c>
      <c r="B70">
        <v>15.5</v>
      </c>
      <c r="C70" t="s">
        <v>21</v>
      </c>
    </row>
    <row r="71" spans="1:3" x14ac:dyDescent="0.35">
      <c r="A71">
        <v>41.730055409447701</v>
      </c>
      <c r="B71">
        <v>16</v>
      </c>
      <c r="C71" t="s">
        <v>21</v>
      </c>
    </row>
    <row r="72" spans="1:3" x14ac:dyDescent="0.35">
      <c r="A72">
        <v>45.578865098977502</v>
      </c>
      <c r="B72">
        <v>16.5</v>
      </c>
      <c r="C72" t="s">
        <v>21</v>
      </c>
    </row>
    <row r="73" spans="1:3" x14ac:dyDescent="0.35">
      <c r="A73">
        <v>43.2221384824227</v>
      </c>
      <c r="B73">
        <v>17</v>
      </c>
      <c r="C73" t="s">
        <v>21</v>
      </c>
    </row>
    <row r="74" spans="1:3" x14ac:dyDescent="0.35">
      <c r="A74">
        <v>47.802970030396601</v>
      </c>
      <c r="B74">
        <v>17.5</v>
      </c>
      <c r="C74" t="s">
        <v>21</v>
      </c>
    </row>
    <row r="75" spans="1:3" x14ac:dyDescent="0.35">
      <c r="A75">
        <v>46.654514286599998</v>
      </c>
      <c r="B75">
        <v>18</v>
      </c>
      <c r="C75" t="s">
        <v>21</v>
      </c>
    </row>
    <row r="76" spans="1:3" x14ac:dyDescent="0.35">
      <c r="A76">
        <v>47.5281484592726</v>
      </c>
      <c r="B76">
        <v>18.5</v>
      </c>
      <c r="C76" t="s">
        <v>21</v>
      </c>
    </row>
    <row r="77" spans="1:3" x14ac:dyDescent="0.35">
      <c r="A77">
        <v>44.0078759185783</v>
      </c>
      <c r="B77">
        <v>19</v>
      </c>
      <c r="C77" t="s">
        <v>21</v>
      </c>
    </row>
    <row r="78" spans="1:3" x14ac:dyDescent="0.35">
      <c r="A78">
        <v>48.915435537124097</v>
      </c>
      <c r="B78">
        <v>19.5</v>
      </c>
      <c r="C78" t="s">
        <v>21</v>
      </c>
    </row>
    <row r="79" spans="1:3" x14ac:dyDescent="0.35">
      <c r="A79">
        <v>49.227474054649697</v>
      </c>
      <c r="B79">
        <v>20</v>
      </c>
      <c r="C79" t="s">
        <v>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one  way</vt:lpstr>
      <vt:lpstr>two way 1</vt:lpstr>
      <vt:lpstr>two way 2</vt:lpstr>
      <vt:lpstr>ancova</vt:lpstr>
    </vt:vector>
  </TitlesOfParts>
  <Company>ZCU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sediva</dc:creator>
  <cp:lastModifiedBy>Blanka Šedivá</cp:lastModifiedBy>
  <dcterms:created xsi:type="dcterms:W3CDTF">2014-04-13T17:21:09Z</dcterms:created>
  <dcterms:modified xsi:type="dcterms:W3CDTF">2025-11-18T12:49:14Z</dcterms:modified>
</cp:coreProperties>
</file>